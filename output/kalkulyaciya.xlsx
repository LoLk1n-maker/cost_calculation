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лькуляция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<sst xmlns="http://schemas.openxmlformats.org/spreadsheetml/2006/main" count="19" uniqueCount="19">
  <si>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Плановая калькуляция себестоимости: Вал-шестерня 12.34.567</t>
  </si>
  <si>
    <t xml:space="preserve">№</t>
  </si>
  <si>
    <t xml:space="preserve">Статья калькуляции</t>
  </si>
  <si>
    <t xml:space="preserve">Сумма, руб.</t>
  </si>
  <si>
    <t xml:space="preserve">1</t>
  </si>
  <si>
    <t xml:space="preserve">Материальные затраты</t>
  </si>
  <si>
    <t xml:space="preserve">2</t>
  </si>
  <si>
    <t xml:space="preserve">Затраты на технологические операции</t>
  </si>
  <si>
    <t xml:space="preserve">2.1</t>
  </si>
  <si>
    <t xml:space="preserve">   в т.ч. основная зарплата с взносами</t>
  </si>
  <si>
    <t xml:space="preserve">2.2</t>
  </si>
  <si>
    <t xml:space="preserve">   в т.ч. содержание оборудования</t>
  </si>
  <si>
    <t xml:space="preserve">3</t>
  </si>
  <si>
    <t xml:space="preserve">Прямые затраты (стр. 1 + стр. 2)</t>
  </si>
  <si>
    <t xml:space="preserve">4</t>
  </si>
  <si>
    <t xml:space="preserve">Накладные расходы</t>
  </si>
  <si>
    <t xml:space="preserve">5</t>
  </si>
  <si>
    <t xml:space="preserve">Итого плановая себестоимость (стр. 3 + стр. 4)</t>
  </si>
  <si>
    <t xml:space="preserve">Коэффициент металлоёмкости: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</si>
</sst>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i val="true"/>
      <sz val="11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FCE8B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3" min="3" style="1" width="16"/>
  </cols>
  <sheetData>
    <row r="1" customFormat="false" ht="16.15" hidden="false" customHeight="false" outlineLevel="0" collapsed="false">
      <c r="A1" s="2" t="s">
        <v>0</v>
      </c>
      <c r="B1" s="2"/>
      <c r="C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false" outlineLevel="0" collapsed="false">
      <c r="A4" s="4" t="s">
        <v>4</v>
      </c>
      <c r="B4" s="4" t="s">
        <v>5</v>
      </c>
      <c r="C4" s="5" t="n">
        <v>1048.1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n">
        <v>4804.35</v>
      </c>
    </row>
    <row r="6" customFormat="false" ht="15" hidden="false" customHeight="false" outlineLevel="0" collapsed="false">
      <c r="A6" s="4" t="s">
        <v>8</v>
      </c>
      <c r="B6" s="4" t="s">
        <v>9</v>
      </c>
      <c r="C6" s="5" t="n">
        <v>1981.85</v>
      </c>
    </row>
    <row r="7" customFormat="false" ht="15" hidden="false" customHeight="false" outlineLevel="0" collapsed="false">
      <c r="A7" s="4" t="s">
        <v>10</v>
      </c>
      <c r="B7" s="4" t="s">
        <v>11</v>
      </c>
      <c r="C7" s="5" t="n">
        <v>2822.5</v>
      </c>
    </row>
    <row r="8" customFormat="false" ht="15" hidden="false" customHeight="false" outlineLevel="0" collapsed="false">
      <c r="A8" s="6" t="s">
        <v>12</v>
      </c>
      <c r="B8" s="6" t="s">
        <v>13</v>
      </c>
      <c r="C8" s="7" t="n">
        <f aca="false">C4+C5</f>
        <v>5852.45</v>
      </c>
    </row>
    <row r="9" customFormat="false" ht="15" hidden="false" customHeight="false" outlineLevel="0" collapsed="false">
      <c r="A9" s="4" t="s">
        <v>14</v>
      </c>
      <c r="B9" s="4" t="s">
        <v>15</v>
      </c>
      <c r="C9" s="5" t="n">
        <v>1053.44</v>
      </c>
    </row>
    <row r="10" customFormat="false" ht="15" hidden="false" customHeight="false" outlineLevel="0" collapsed="false">
      <c r="A10" s="6" t="s">
        <v>16</v>
      </c>
      <c r="B10" s="6" t="s">
        <v>17</v>
      </c>
      <c r="C10" s="7" t="n">
        <f aca="false">C8+C9</f>
        <v>6905.89</v>
      </c>
    </row>
    <row r="12" customFormat="false" ht="15" hidden="false" customHeight="false" outlineLevel="0" collapsed="false">
      <c r="A12" s="8" t="s">
        <v>18</v>
      </c>
      <c r="B12" s="8"/>
      <c r="C12" s="9" t="n">
        <v>0.663</v>
      </c>
    </row>
  </sheetData>
  <mergeCells count="2">
    <mergeCell ref="A1:C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2026-07-08T16:27:19Z</dcterms:created>
  <dc:creator>openpyxl</dc:creator>
  <dc:description/>
  <dc:language>en-US</dc:language>
  <cp:lastModifiedBy/>
  <dcterms:modified xsi:type="dcterms:W3CDTF">2026-07-08T16:27:19Z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